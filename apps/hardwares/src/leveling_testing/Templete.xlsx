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160"/>
  </bookViews>
  <sheets>
    <sheet name="Sumarry" sheetId="1" r:id="rId1"/>
    <sheet name="Z Stage" sheetId="2" r:id="rId2"/>
    <sheet name="8CH Pipette" sheetId="3" r:id="rId3"/>
    <sheet name="96CH Pipet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<sst xmlns="http://schemas.openxmlformats.org/spreadsheetml/2006/main" count="155" uniqueCount="111">
  <si>
    <t>zstage_left-z-c2-rear</t>
  </si>
  <si>
    <t>zstage_left-z-c2-front</t>
  </si>
  <si>
    <t>zstage_right-z-a1-rear</t>
  </si>
  <si>
    <t>zstage_right-z-a1-front</t>
  </si>
  <si>
    <t>zstage_right-z-a2-rear</t>
  </si>
  <si>
    <t>zstage_right-z-a2-front</t>
  </si>
  <si>
    <t>zstage_right-z-a3-rear</t>
  </si>
  <si>
    <t>zstage_right-z-a3-front</t>
  </si>
  <si>
    <t>zstage_right-z-b1-rear</t>
  </si>
  <si>
    <t>zstage_right-z-b1-front</t>
  </si>
  <si>
    <t>zstage_right-z-b2-rear</t>
  </si>
  <si>
    <t>zstage_right-z-b2-front</t>
  </si>
  <si>
    <t>zstage_right-z-b3-rear</t>
  </si>
  <si>
    <t>zstage_right-z-b3-front</t>
  </si>
  <si>
    <t>zstage_right-z-c1-rear</t>
  </si>
  <si>
    <t>zstage_right-z-c1-front</t>
  </si>
  <si>
    <t>zstage_right-z-c2-rear</t>
  </si>
  <si>
    <t>zstage_right-z-c2-front</t>
  </si>
  <si>
    <t>zstage_right-z-c3-rear</t>
  </si>
  <si>
    <t>zstage_right-z-c3-front</t>
  </si>
  <si>
    <t>zstage_right-z-d1-rear</t>
  </si>
  <si>
    <t>zstage_right-z-d1-front</t>
  </si>
  <si>
    <t>zstage_right-z-d2-rear</t>
  </si>
  <si>
    <t>zstage_right-z-d2-front</t>
  </si>
  <si>
    <t>zstage_right-z-d3-rear</t>
  </si>
  <si>
    <t>zstage_right-z-d3-front</t>
  </si>
  <si>
    <t>ch8_left-y-c1-rear</t>
  </si>
  <si>
    <t>ch8_left-y-c1-front</t>
  </si>
  <si>
    <t>ch8_right-y-c1-rear</t>
  </si>
  <si>
    <t>ch8_right-y-c1-front</t>
  </si>
  <si>
    <t>ch8_right-y-c3-rear</t>
  </si>
  <si>
    <t>ch8_right-y-c3-front</t>
  </si>
  <si>
    <t>ch8_right-y-a2-rear</t>
  </si>
  <si>
    <t>ch8_right-y-a2-front</t>
  </si>
  <si>
    <t>ch96_c1-y-rear</t>
  </si>
  <si>
    <t>ch96_c1-y-front</t>
  </si>
  <si>
    <t>ch96_c3-y-rear</t>
  </si>
  <si>
    <t>ch96_c3-y-front</t>
  </si>
  <si>
    <t>ch96_a2-y-rear</t>
  </si>
  <si>
    <t>ch96_a2-y-front</t>
  </si>
  <si>
    <t>ch96_c1-x-left</t>
  </si>
  <si>
    <t>ch96_c1-x-right</t>
  </si>
  <si>
    <t>ch96_c3-x-left</t>
  </si>
  <si>
    <t>ch96_c3-x-right</t>
  </si>
  <si>
    <t>ch96_a2-x-left</t>
  </si>
  <si>
    <t>ch96_a2-x-right</t>
  </si>
  <si>
    <t>ch96_d1-z-rear_left</t>
  </si>
  <si>
    <t>ch96_d1-z-rear_right</t>
  </si>
  <si>
    <t>ch96_d1-z-front_left</t>
  </si>
  <si>
    <t>ch96_d1-z-front_right</t>
  </si>
  <si>
    <t>ch96_d3-z-rear_left</t>
  </si>
  <si>
    <t>ch96_d3-z-rear_right</t>
  </si>
  <si>
    <t>ch96_d3-z-front_left</t>
  </si>
  <si>
    <t>ch96_d3-z-front_right</t>
  </si>
  <si>
    <t>ch96_c2-z-rear_left</t>
  </si>
  <si>
    <t>ch96_c2-z-rear_right</t>
  </si>
  <si>
    <t>ch96_c2-z-front_left</t>
  </si>
  <si>
    <t>ch96_c2-z-front_right</t>
  </si>
  <si>
    <t>ch96_a2-z-rear_left</t>
  </si>
  <si>
    <t>ch96_a2-z-rear_right</t>
  </si>
  <si>
    <t>ch96_a2-z-front_left</t>
  </si>
  <si>
    <t>ch96_a2-z-front_right</t>
  </si>
  <si>
    <t>Fixture Name</t>
  </si>
  <si>
    <t>Z Stage Leveling</t>
  </si>
  <si>
    <t>Date</t>
  </si>
  <si>
    <t>measurement</t>
  </si>
  <si>
    <t>compensation</t>
  </si>
  <si>
    <t>Left</t>
  </si>
  <si>
    <t>Block</t>
  </si>
  <si>
    <t>rear(ch3)</t>
  </si>
  <si>
    <t>front(ch2)</t>
  </si>
  <si>
    <t>Z-C2</t>
  </si>
  <si>
    <t>Right</t>
  </si>
  <si>
    <t>Z-A1</t>
  </si>
  <si>
    <t>Z-A2</t>
  </si>
  <si>
    <t>Z-A3</t>
  </si>
  <si>
    <t>Z-B1</t>
  </si>
  <si>
    <t>Z-B2</t>
  </si>
  <si>
    <t>Z-B3</t>
  </si>
  <si>
    <t>Z-C1</t>
  </si>
  <si>
    <t>Z-C3</t>
  </si>
  <si>
    <t>Z-D1</t>
  </si>
  <si>
    <t>Z-D2</t>
  </si>
  <si>
    <t>Z-D3</t>
  </si>
  <si>
    <t>FixtureName</t>
  </si>
  <si>
    <t>8CH Pipette</t>
  </si>
  <si>
    <t>rear(ch1)</t>
  </si>
  <si>
    <t>front(ch0)</t>
  </si>
  <si>
    <t>Y-C1</t>
  </si>
  <si>
    <t>Y-C3</t>
  </si>
  <si>
    <t>Y-A2</t>
  </si>
  <si>
    <t>96CH Pipette</t>
  </si>
  <si>
    <t>Y Axis</t>
  </si>
  <si>
    <t>C1-Y</t>
  </si>
  <si>
    <t>C3-Y</t>
  </si>
  <si>
    <t>A2-Y</t>
  </si>
  <si>
    <t>X Axis</t>
  </si>
  <si>
    <t>left(ch4)</t>
  </si>
  <si>
    <t>right(ch5)</t>
  </si>
  <si>
    <t>C1-X</t>
  </si>
  <si>
    <t>C3-X</t>
  </si>
  <si>
    <t>A2-X</t>
  </si>
  <si>
    <t>Z Axis</t>
  </si>
  <si>
    <t>rear_left(ch10)</t>
  </si>
  <si>
    <t>rear_right(ch11)</t>
  </si>
  <si>
    <t>front_left(ch8)</t>
  </si>
  <si>
    <t>front_right(ch9)</t>
  </si>
  <si>
    <t>D1-Z</t>
  </si>
  <si>
    <t>D3-Z</t>
  </si>
  <si>
    <t>C2-Z</t>
  </si>
  <si>
    <t>A2-Z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</si>
</sst>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0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134"/>
      <scheme val="minor"/>
    </font>
    <font>
      <sz val="10"/>
      <color rgb="FFFF0000"/>
      <name val="Arial"/>
      <charset val="134"/>
    </font>
    <font>
      <sz val="11"/>
      <color theme="1"/>
      <name val="Arial"/>
      <charset val="134"/>
    </font>
    <font>
      <sz val="10"/>
      <color rgb="FF0000FF"/>
      <name val="Arial"/>
      <charset val="134"/>
    </font>
    <font>
      <sz val="10"/>
      <color rgb="FF4285F4"/>
      <name val="Arial"/>
      <charset val="134"/>
    </font>
    <font>
      <b/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1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22" applyNumberFormat="0" applyAlignment="0" applyProtection="0">
      <alignment vertical="center"/>
    </xf>
    <xf numFmtId="0" fontId="20" fillId="7" borderId="23" applyNumberFormat="0" applyAlignment="0" applyProtection="0">
      <alignment vertical="center"/>
    </xf>
    <xf numFmtId="0" fontId="21" fillId="7" borderId="22" applyNumberFormat="0" applyAlignment="0" applyProtection="0">
      <alignment vertical="center"/>
    </xf>
    <xf numFmtId="0" fontId="22" fillId="8" borderId="24" applyNumberFormat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0" borderId="26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38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>
      <alignment horizontal="center"/>
    </xf>
    <xf numFmtId="176" fontId="1" fillId="0" borderId="5" xfId="0" applyNumberFormat="1" applyFont="1" applyBorder="1" applyAlignment="1"/>
    <xf numFmtId="0" fontId="2" fillId="0" borderId="6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1" fillId="0" borderId="10" xfId="0" applyFont="1" applyBorder="1" applyAlignment="1">
      <alignment horizontal="center"/>
    </xf>
    <xf numFmtId="0" fontId="2" fillId="0" borderId="5" xfId="0" applyFont="1" applyBorder="1" applyAlignment="1"/>
    <xf numFmtId="0" fontId="1" fillId="0" borderId="5" xfId="0" applyFont="1" applyBorder="1" applyAlignment="1"/>
    <xf numFmtId="0" fontId="1" fillId="0" borderId="11" xfId="0" applyFont="1" applyBorder="1" applyAlignment="1"/>
    <xf numFmtId="0" fontId="3" fillId="0" borderId="12" xfId="0" applyFont="1" applyBorder="1"/>
    <xf numFmtId="0" fontId="4" fillId="0" borderId="5" xfId="0" applyFont="1" applyBorder="1" applyAlignment="1"/>
    <xf numFmtId="0" fontId="5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3" fillId="0" borderId="13" xfId="0" applyFont="1" applyBorder="1"/>
    <xf numFmtId="0" fontId="2" fillId="0" borderId="11" xfId="0" applyFont="1" applyBorder="1" applyAlignment="1"/>
    <xf numFmtId="0" fontId="6" fillId="0" borderId="11" xfId="0" applyFont="1" applyBorder="1" applyAlignment="1">
      <alignment horizontal="right"/>
    </xf>
    <xf numFmtId="0" fontId="3" fillId="0" borderId="14" xfId="0" applyFont="1" applyBorder="1"/>
    <xf numFmtId="0" fontId="4" fillId="0" borderId="15" xfId="0" applyFont="1" applyBorder="1" applyAlignment="1"/>
    <xf numFmtId="0" fontId="5" fillId="0" borderId="15" xfId="0" applyFont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6" fillId="0" borderId="16" xfId="0" applyFont="1" applyBorder="1" applyAlignment="1">
      <alignment horizontal="right"/>
    </xf>
    <xf numFmtId="0" fontId="6" fillId="0" borderId="5" xfId="0" applyFont="1" applyBorder="1" applyAlignment="1"/>
    <xf numFmtId="0" fontId="8" fillId="0" borderId="17" xfId="0" applyFont="1" applyBorder="1" applyAlignment="1">
      <alignment wrapText="1" readingOrder="1"/>
    </xf>
    <xf numFmtId="0" fontId="0" fillId="0" borderId="18" xfId="0" applyBorder="1" applyAlignment="1">
      <alignment wrapText="1" readingOrder="1"/>
    </xf>
    <xf numFmtId="0" fontId="1" fillId="0" borderId="15" xfId="0" applyFont="1" applyBorder="1" applyAlignment="1"/>
    <xf numFmtId="0" fontId="1" fillId="0" borderId="16" xfId="0" applyFont="1" applyBorder="1" applyAlignment="1"/>
    <xf numFmtId="0" fontId="6" fillId="0" borderId="15" xfId="0" applyFont="1" applyBorder="1" applyAlignment="1"/>
    <xf numFmtId="0" fontId="9" fillId="2" borderId="0" xfId="0" applyFont="1" applyFill="1" applyAlignment="1"/>
    <xf numFmtId="0" fontId="9" fillId="0" borderId="0" xfId="0" applyFont="1"/>
    <xf numFmtId="0" fontId="9" fillId="3" borderId="0" xfId="0" applyFont="1" applyFill="1" applyAlignment="1"/>
    <xf numFmtId="0" fontId="9" fillId="4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7"/>
  <sheetViews>
    <sheetView tabSelected="1" workbookViewId="0">
      <selection activeCell="G12" sqref="G12"/>
    </sheetView>
  </sheetViews>
  <sheetFormatPr defaultColWidth="12.6339285714286" defaultRowHeight="15.75" customHeight="1"/>
  <cols>
    <col min="1" max="1" width="26.1339285714286" customWidth="1"/>
    <col min="2" max="2" width="9.25" customWidth="1"/>
    <col min="3" max="3" width="31.6339285714286" customWidth="1"/>
    <col min="4" max="4" width="8" customWidth="1"/>
    <col min="5" max="5" width="15.6339285714286" customWidth="1"/>
    <col min="6" max="6" width="9" customWidth="1"/>
    <col min="7" max="7" width="17.75" customWidth="1"/>
    <col min="8" max="8" width="9.75" customWidth="1"/>
  </cols>
  <sheetData>
    <row r="1" customHeight="1" spans="1:4">
      <c r="A1" s="34" t="s">
        <v>0</v>
      </c>
      <c r="B1" s="35">
        <f>'Z Stage'!F5</f>
        <v>0.026</v>
      </c>
      <c r="C1" s="34" t="s">
        <v>1</v>
      </c>
      <c r="D1" s="35">
        <f>'Z Stage'!G5</f>
        <v>0</v>
      </c>
    </row>
    <row r="2" customHeight="1" spans="1:4">
      <c r="A2" s="34" t="s">
        <v>2</v>
      </c>
      <c r="B2" s="35">
        <f>'Z Stage'!F7</f>
        <v>-0.05</v>
      </c>
      <c r="C2" s="34" t="s">
        <v>3</v>
      </c>
      <c r="D2" s="35">
        <f>'Z Stage'!G7</f>
        <v>0</v>
      </c>
    </row>
    <row r="3" customHeight="1" spans="1:4">
      <c r="A3" s="34" t="s">
        <v>4</v>
      </c>
      <c r="B3" s="35">
        <f>'Z Stage'!F8</f>
        <v>-0.024</v>
      </c>
      <c r="C3" s="34" t="s">
        <v>5</v>
      </c>
      <c r="D3" s="35">
        <f>'Z Stage'!G8</f>
        <v>0</v>
      </c>
    </row>
    <row r="4" customHeight="1" spans="1:4">
      <c r="A4" s="34" t="s">
        <v>6</v>
      </c>
      <c r="B4" s="35">
        <f>'Z Stage'!F9</f>
        <v>-0.048</v>
      </c>
      <c r="C4" s="34" t="s">
        <v>7</v>
      </c>
      <c r="D4" s="35">
        <f>'Z Stage'!G9</f>
        <v>0</v>
      </c>
    </row>
    <row r="5" customHeight="1" spans="1:4">
      <c r="A5" s="34" t="s">
        <v>8</v>
      </c>
      <c r="B5" s="35">
        <f>'Z Stage'!F10</f>
        <v>-0.118</v>
      </c>
      <c r="C5" s="34" t="s">
        <v>9</v>
      </c>
      <c r="D5" s="35">
        <f>'Z Stage'!G10</f>
        <v>0</v>
      </c>
    </row>
    <row r="6" customHeight="1" spans="1:4">
      <c r="A6" s="34" t="s">
        <v>10</v>
      </c>
      <c r="B6" s="35">
        <f>'Z Stage'!F11</f>
        <v>-0.088</v>
      </c>
      <c r="C6" s="34" t="s">
        <v>11</v>
      </c>
      <c r="D6" s="35">
        <f>'Z Stage'!G11</f>
        <v>0</v>
      </c>
    </row>
    <row r="7" customHeight="1" spans="1:4">
      <c r="A7" s="34" t="s">
        <v>12</v>
      </c>
      <c r="B7" s="35">
        <f>'Z Stage'!F12</f>
        <v>-0.012</v>
      </c>
      <c r="C7" s="34" t="s">
        <v>13</v>
      </c>
      <c r="D7" s="35">
        <f>'Z Stage'!G12</f>
        <v>0</v>
      </c>
    </row>
    <row r="8" customHeight="1" spans="1:4">
      <c r="A8" s="34" t="s">
        <v>14</v>
      </c>
      <c r="B8" s="35">
        <f>'Z Stage'!F13</f>
        <v>-0.038</v>
      </c>
      <c r="C8" s="34" t="s">
        <v>15</v>
      </c>
      <c r="D8" s="35">
        <f>'Z Stage'!G13</f>
        <v>0</v>
      </c>
    </row>
    <row r="9" customHeight="1" spans="1:4">
      <c r="A9" s="34" t="s">
        <v>16</v>
      </c>
      <c r="B9" s="35">
        <f>'Z Stage'!F14</f>
        <v>-0.032</v>
      </c>
      <c r="C9" s="34" t="s">
        <v>17</v>
      </c>
      <c r="D9" s="35">
        <f>'Z Stage'!G14</f>
        <v>0</v>
      </c>
    </row>
    <row r="10" customHeight="1" spans="1:4">
      <c r="A10" s="34" t="s">
        <v>18</v>
      </c>
      <c r="B10" s="35">
        <f>'Z Stage'!F15</f>
        <v>-0.08</v>
      </c>
      <c r="C10" s="34" t="s">
        <v>19</v>
      </c>
      <c r="D10" s="35">
        <f>'Z Stage'!G15</f>
        <v>0</v>
      </c>
    </row>
    <row r="11" customHeight="1" spans="1:4">
      <c r="A11" s="34" t="s">
        <v>20</v>
      </c>
      <c r="B11" s="35">
        <f>'Z Stage'!F16</f>
        <v>0.006</v>
      </c>
      <c r="C11" s="34" t="s">
        <v>21</v>
      </c>
      <c r="D11" s="35">
        <f>'Z Stage'!G16</f>
        <v>0</v>
      </c>
    </row>
    <row r="12" customHeight="1" spans="1:4">
      <c r="A12" s="34" t="s">
        <v>22</v>
      </c>
      <c r="B12" s="35">
        <f>'Z Stage'!F17</f>
        <v>-0.092</v>
      </c>
      <c r="C12" s="34" t="s">
        <v>23</v>
      </c>
      <c r="D12" s="35">
        <f>'Z Stage'!G17</f>
        <v>0</v>
      </c>
    </row>
    <row r="13" customHeight="1" spans="1:4">
      <c r="A13" s="34" t="s">
        <v>24</v>
      </c>
      <c r="B13" s="35">
        <f>'Z Stage'!F18</f>
        <v>-0.008</v>
      </c>
      <c r="C13" s="34" t="s">
        <v>25</v>
      </c>
      <c r="D13" s="35">
        <f>'Z Stage'!G18</f>
        <v>0</v>
      </c>
    </row>
    <row r="14" customHeight="1" spans="1:4">
      <c r="A14" s="36" t="s">
        <v>26</v>
      </c>
      <c r="B14" s="35">
        <f>'8CH Pipette'!F5</f>
        <v>0.094</v>
      </c>
      <c r="C14" s="36" t="s">
        <v>27</v>
      </c>
      <c r="D14" s="35">
        <f>'8CH Pipette'!G5</f>
        <v>0</v>
      </c>
    </row>
    <row r="15" customHeight="1" spans="1:4">
      <c r="A15" s="36" t="s">
        <v>28</v>
      </c>
      <c r="B15" s="35">
        <f>'8CH Pipette'!F7</f>
        <v>0.143999999999998</v>
      </c>
      <c r="C15" s="36" t="s">
        <v>29</v>
      </c>
      <c r="D15" s="35">
        <f>'8CH Pipette'!G7</f>
        <v>0</v>
      </c>
    </row>
    <row r="16" customHeight="1" spans="1:4">
      <c r="A16" s="36" t="s">
        <v>30</v>
      </c>
      <c r="B16" s="35">
        <f>'8CH Pipette'!F8</f>
        <v>0.16</v>
      </c>
      <c r="C16" s="36" t="s">
        <v>31</v>
      </c>
      <c r="D16" s="35">
        <f>'8CH Pipette'!G8</f>
        <v>0</v>
      </c>
    </row>
    <row r="17" customHeight="1" spans="1:9">
      <c r="A17" s="36" t="s">
        <v>32</v>
      </c>
      <c r="B17" s="35">
        <f>'8CH Pipette'!F9</f>
        <v>0.129999999999999</v>
      </c>
      <c r="C17" s="36" t="s">
        <v>33</v>
      </c>
      <c r="D17" s="35">
        <f>'8CH Pipette'!G9</f>
        <v>0</v>
      </c>
    </row>
    <row r="18" customHeight="1" spans="1:9">
      <c r="A18" s="37" t="s">
        <v>34</v>
      </c>
      <c r="B18" s="35">
        <f>'96CH Pipette'!H5</f>
        <v>-0.128</v>
      </c>
      <c r="C18" s="37" t="s">
        <v>35</v>
      </c>
      <c r="D18" s="35">
        <f>'96CH Pipette'!I5</f>
        <v>0</v>
      </c>
      <c r="F18" s="35"/>
      <c r="H18" s="35"/>
    </row>
    <row r="19" customHeight="1" spans="1:9">
      <c r="A19" s="37" t="s">
        <v>36</v>
      </c>
      <c r="B19" s="35">
        <f>'96CH Pipette'!H7</f>
        <v>-0.14</v>
      </c>
      <c r="C19" s="37" t="s">
        <v>37</v>
      </c>
      <c r="D19" s="35">
        <f>'96CH Pipette'!I7</f>
        <v>0</v>
      </c>
      <c r="F19" s="35"/>
      <c r="H19" s="35"/>
      <c r="I19" s="35"/>
    </row>
    <row r="20" customHeight="1" spans="1:9">
      <c r="A20" s="37" t="s">
        <v>38</v>
      </c>
      <c r="B20" s="35">
        <f>'96CH Pipette'!H9</f>
        <v>-0.176</v>
      </c>
      <c r="C20" s="37" t="s">
        <v>39</v>
      </c>
      <c r="D20" s="35">
        <f>'96CH Pipette'!I9</f>
        <v>0</v>
      </c>
      <c r="F20" s="35"/>
      <c r="H20" s="35"/>
    </row>
    <row r="21" customHeight="1" spans="1:9">
      <c r="A21" s="37" t="s">
        <v>40</v>
      </c>
      <c r="B21" s="35">
        <f>'96CH Pipette'!H11</f>
        <v>0</v>
      </c>
      <c r="C21" s="37" t="s">
        <v>41</v>
      </c>
      <c r="D21" s="35">
        <f>'96CH Pipette'!I11</f>
        <v>0.076</v>
      </c>
      <c r="F21" s="35"/>
      <c r="H21" s="35"/>
    </row>
    <row r="22" customHeight="1" spans="1:9">
      <c r="A22" s="37" t="s">
        <v>42</v>
      </c>
      <c r="B22" s="35">
        <f>'96CH Pipette'!H12</f>
        <v>0</v>
      </c>
      <c r="C22" s="37" t="s">
        <v>43</v>
      </c>
      <c r="D22" s="35">
        <f>'96CH Pipette'!I12</f>
        <v>0.028</v>
      </c>
      <c r="F22" s="35"/>
      <c r="H22" s="35"/>
    </row>
    <row r="23" customHeight="1" spans="1:9">
      <c r="A23" s="37" t="s">
        <v>44</v>
      </c>
      <c r="B23" s="35">
        <f>'96CH Pipette'!H13</f>
        <v>0</v>
      </c>
      <c r="C23" s="37" t="s">
        <v>45</v>
      </c>
      <c r="D23" s="35">
        <f>'96CH Pipette'!I13</f>
        <v>0.114</v>
      </c>
      <c r="F23" s="35"/>
      <c r="H23" s="35"/>
    </row>
    <row r="24" customHeight="1" spans="1:9">
      <c r="A24" s="37" t="s">
        <v>46</v>
      </c>
      <c r="B24" s="35">
        <f>'96CH Pipette'!H15</f>
        <v>-0.02</v>
      </c>
      <c r="C24" s="37" t="s">
        <v>47</v>
      </c>
      <c r="D24" s="35">
        <f>'96CH Pipette'!I15</f>
        <v>-0.054</v>
      </c>
      <c r="E24" s="37" t="s">
        <v>48</v>
      </c>
      <c r="F24" s="35">
        <f>'96CH Pipette'!J15</f>
        <v>0</v>
      </c>
      <c r="G24" s="37" t="s">
        <v>49</v>
      </c>
      <c r="H24" s="35">
        <f>'96CH Pipette'!K15</f>
        <v>0.036</v>
      </c>
    </row>
    <row r="25" customHeight="1" spans="1:9">
      <c r="A25" s="37" t="s">
        <v>50</v>
      </c>
      <c r="B25" s="35">
        <f>'96CH Pipette'!H16</f>
        <v>-0.01</v>
      </c>
      <c r="C25" s="37" t="s">
        <v>51</v>
      </c>
      <c r="D25" s="35">
        <f>'96CH Pipette'!I16</f>
        <v>-0.062</v>
      </c>
      <c r="E25" s="37" t="s">
        <v>52</v>
      </c>
      <c r="F25" s="35">
        <f>'96CH Pipette'!J16</f>
        <v>0</v>
      </c>
      <c r="G25" s="37" t="s">
        <v>53</v>
      </c>
      <c r="H25" s="35">
        <f>'96CH Pipette'!K16</f>
        <v>0.028</v>
      </c>
    </row>
    <row r="26" customHeight="1" spans="1:9">
      <c r="A26" s="37" t="s">
        <v>54</v>
      </c>
      <c r="B26" s="35">
        <f>'96CH Pipette'!H17</f>
        <v>-0.006</v>
      </c>
      <c r="C26" s="37" t="s">
        <v>55</v>
      </c>
      <c r="D26" s="35">
        <f>'96CH Pipette'!I17</f>
        <v>-0.112</v>
      </c>
      <c r="E26" s="37" t="s">
        <v>56</v>
      </c>
      <c r="F26" s="35">
        <f>'96CH Pipette'!J17</f>
        <v>0</v>
      </c>
      <c r="G26" s="37" t="s">
        <v>57</v>
      </c>
      <c r="H26" s="35">
        <f>'96CH Pipette'!K17</f>
        <v>-0.03</v>
      </c>
    </row>
    <row r="27" customHeight="1" spans="1:9">
      <c r="A27" s="37" t="s">
        <v>58</v>
      </c>
      <c r="B27" s="35">
        <f>'96CH Pipette'!H18</f>
        <v>-0.018</v>
      </c>
      <c r="C27" s="37" t="s">
        <v>59</v>
      </c>
      <c r="D27" s="35">
        <f>'96CH Pipette'!I18</f>
        <v>-0.102</v>
      </c>
      <c r="E27" s="37" t="s">
        <v>60</v>
      </c>
      <c r="F27" s="35">
        <f>'96CH Pipette'!J18</f>
        <v>0</v>
      </c>
      <c r="G27" s="37" t="s">
        <v>61</v>
      </c>
      <c r="H27" s="35">
        <f>'96CH Pipette'!K18</f>
        <v>0.024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G18"/>
  <sheetViews>
    <sheetView workbookViewId="0">
      <selection activeCell="D17" sqref="D17"/>
    </sheetView>
  </sheetViews>
  <sheetFormatPr defaultColWidth="12.6339285714286" defaultRowHeight="15.75" customHeight="1" outlineLevelCol="6"/>
  <cols>
    <col min="1" max="1" width="3.13392857142857" customWidth="1"/>
  </cols>
  <sheetData>
    <row r="2" customHeight="1" spans="2:7">
      <c r="B2" s="1" t="s">
        <v>62</v>
      </c>
      <c r="C2" s="2" t="s">
        <v>63</v>
      </c>
      <c r="D2" s="2"/>
      <c r="E2" s="2"/>
      <c r="F2" s="2"/>
      <c r="G2" s="3"/>
    </row>
    <row r="3" customHeight="1" spans="2:7">
      <c r="B3" s="4" t="s">
        <v>64</v>
      </c>
      <c r="C3" s="5">
        <v>46206</v>
      </c>
      <c r="D3" s="6" t="s">
        <v>65</v>
      </c>
      <c r="E3" s="8"/>
      <c r="F3" s="6" t="s">
        <v>66</v>
      </c>
      <c r="G3" s="9"/>
    </row>
    <row r="4" customHeight="1" spans="2:7">
      <c r="B4" s="10" t="s">
        <v>67</v>
      </c>
      <c r="C4" s="11" t="s">
        <v>68</v>
      </c>
      <c r="D4" s="11" t="s">
        <v>69</v>
      </c>
      <c r="E4" s="21" t="s">
        <v>70</v>
      </c>
      <c r="F4" s="11" t="s">
        <v>69</v>
      </c>
      <c r="G4" s="21" t="s">
        <v>70</v>
      </c>
    </row>
    <row r="5" customHeight="1" spans="2:7">
      <c r="B5" s="20"/>
      <c r="C5" s="12" t="s">
        <v>71</v>
      </c>
      <c r="D5" s="12">
        <v>29.998</v>
      </c>
      <c r="E5" s="12">
        <v>30.024</v>
      </c>
      <c r="F5" s="28">
        <v>0.026</v>
      </c>
      <c r="G5" s="13">
        <v>0</v>
      </c>
    </row>
    <row r="6" customHeight="1" spans="2:7">
      <c r="B6" s="10" t="s">
        <v>72</v>
      </c>
      <c r="C6" s="11" t="s">
        <v>68</v>
      </c>
      <c r="D6" s="11" t="s">
        <v>69</v>
      </c>
      <c r="E6" s="11" t="s">
        <v>70</v>
      </c>
      <c r="F6" s="11" t="s">
        <v>69</v>
      </c>
      <c r="G6" s="21" t="s">
        <v>70</v>
      </c>
    </row>
    <row r="7" customHeight="1" spans="2:7">
      <c r="B7" s="14"/>
      <c r="C7" s="15" t="s">
        <v>73</v>
      </c>
      <c r="D7" s="12">
        <v>30.062</v>
      </c>
      <c r="E7" s="12">
        <v>30.012</v>
      </c>
      <c r="F7" s="28">
        <v>-0.05</v>
      </c>
      <c r="G7" s="13">
        <v>0</v>
      </c>
    </row>
    <row r="8" customHeight="1" spans="2:7">
      <c r="B8" s="14"/>
      <c r="C8" s="15" t="s">
        <v>74</v>
      </c>
      <c r="D8" s="12">
        <v>30.11</v>
      </c>
      <c r="E8" s="12">
        <v>30.086</v>
      </c>
      <c r="F8" s="28">
        <v>-0.024</v>
      </c>
      <c r="G8" s="13">
        <v>0</v>
      </c>
    </row>
    <row r="9" customHeight="1" spans="2:7">
      <c r="B9" s="14"/>
      <c r="C9" s="15" t="s">
        <v>75</v>
      </c>
      <c r="D9" s="12">
        <v>30.122</v>
      </c>
      <c r="E9" s="12">
        <v>30.074</v>
      </c>
      <c r="F9" s="28">
        <v>-0.048</v>
      </c>
      <c r="G9" s="13">
        <v>0</v>
      </c>
    </row>
    <row r="10" customHeight="1" spans="2:7">
      <c r="B10" s="14"/>
      <c r="C10" s="15" t="s">
        <v>76</v>
      </c>
      <c r="D10" s="12">
        <v>30.246</v>
      </c>
      <c r="E10" s="12">
        <v>30.128</v>
      </c>
      <c r="F10" s="28">
        <v>-0.118</v>
      </c>
      <c r="G10" s="13">
        <v>0</v>
      </c>
    </row>
    <row r="11" customHeight="1" spans="2:7">
      <c r="B11" s="14"/>
      <c r="C11" s="15" t="s">
        <v>77</v>
      </c>
      <c r="D11" s="12">
        <v>30.096</v>
      </c>
      <c r="E11" s="12">
        <v>30.008</v>
      </c>
      <c r="F11" s="28">
        <v>-0.088</v>
      </c>
      <c r="G11" s="13">
        <v>0</v>
      </c>
    </row>
    <row r="12" customHeight="1" spans="2:7">
      <c r="B12" s="14"/>
      <c r="C12" s="15" t="s">
        <v>78</v>
      </c>
      <c r="D12" s="12">
        <v>30.192</v>
      </c>
      <c r="E12" s="12">
        <v>30.18</v>
      </c>
      <c r="F12" s="28">
        <v>-0.012</v>
      </c>
      <c r="G12" s="13">
        <v>0</v>
      </c>
    </row>
    <row r="13" customHeight="1" spans="2:7">
      <c r="B13" s="14"/>
      <c r="C13" s="15" t="s">
        <v>79</v>
      </c>
      <c r="D13" s="12">
        <v>30.318</v>
      </c>
      <c r="E13" s="12">
        <v>30.28</v>
      </c>
      <c r="F13" s="28">
        <v>-0.038</v>
      </c>
      <c r="G13" s="13">
        <v>0</v>
      </c>
    </row>
    <row r="14" customHeight="1" spans="2:7">
      <c r="B14" s="14"/>
      <c r="C14" s="15" t="s">
        <v>71</v>
      </c>
      <c r="D14" s="12">
        <v>30.326</v>
      </c>
      <c r="E14" s="12">
        <v>30.294</v>
      </c>
      <c r="F14" s="28">
        <v>-0.032</v>
      </c>
      <c r="G14" s="13">
        <v>0</v>
      </c>
    </row>
    <row r="15" customHeight="1" spans="2:7">
      <c r="B15" s="14"/>
      <c r="C15" s="15" t="s">
        <v>80</v>
      </c>
      <c r="D15" s="12">
        <v>30.364</v>
      </c>
      <c r="E15" s="12">
        <v>30.284</v>
      </c>
      <c r="F15" s="28">
        <v>-0.08</v>
      </c>
      <c r="G15" s="13">
        <v>0</v>
      </c>
    </row>
    <row r="16" customHeight="1" spans="2:7">
      <c r="B16" s="14"/>
      <c r="C16" s="15" t="s">
        <v>81</v>
      </c>
      <c r="D16" s="12">
        <v>30.256</v>
      </c>
      <c r="E16" s="12">
        <v>30.262</v>
      </c>
      <c r="F16" s="28">
        <v>0.006</v>
      </c>
      <c r="G16" s="13">
        <v>0</v>
      </c>
    </row>
    <row r="17" customHeight="1" spans="2:7">
      <c r="B17" s="14"/>
      <c r="C17" s="15" t="s">
        <v>82</v>
      </c>
      <c r="D17" s="12">
        <v>30.236</v>
      </c>
      <c r="E17" s="12">
        <v>30.144</v>
      </c>
      <c r="F17" s="28">
        <v>-0.092</v>
      </c>
      <c r="G17" s="13">
        <v>0</v>
      </c>
    </row>
    <row r="18" customHeight="1" spans="2:7">
      <c r="B18" s="23"/>
      <c r="C18" s="24" t="s">
        <v>83</v>
      </c>
      <c r="D18" s="31">
        <v>30.25</v>
      </c>
      <c r="E18" s="31">
        <v>30.242</v>
      </c>
      <c r="F18" s="33">
        <v>-0.008</v>
      </c>
      <c r="G18" s="32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G9"/>
  <sheetViews>
    <sheetView workbookViewId="0">
      <selection activeCell="F14" sqref="F14"/>
    </sheetView>
  </sheetViews>
  <sheetFormatPr defaultColWidth="12.6339285714286" defaultRowHeight="15.75" customHeight="1" outlineLevelCol="6"/>
  <cols>
    <col min="1" max="1" width="3.38392857142857" customWidth="1"/>
  </cols>
  <sheetData>
    <row r="2" customHeight="1" spans="2:7">
      <c r="B2" s="1" t="s">
        <v>84</v>
      </c>
      <c r="C2" s="2" t="s">
        <v>85</v>
      </c>
      <c r="D2" s="2"/>
      <c r="E2" s="2"/>
      <c r="F2" s="2"/>
      <c r="G2" s="3"/>
    </row>
    <row r="3" customHeight="1" spans="2:7">
      <c r="B3" s="4" t="s">
        <v>64</v>
      </c>
      <c r="C3" s="5">
        <v>46206</v>
      </c>
      <c r="D3" s="6" t="s">
        <v>65</v>
      </c>
      <c r="E3" s="8"/>
      <c r="F3" s="6" t="s">
        <v>66</v>
      </c>
      <c r="G3" s="9"/>
    </row>
    <row r="4" customHeight="1" spans="2:7">
      <c r="B4" s="10" t="s">
        <v>67</v>
      </c>
      <c r="C4" s="11" t="s">
        <v>68</v>
      </c>
      <c r="D4" s="11"/>
      <c r="E4" s="11"/>
      <c r="F4" s="11" t="s">
        <v>86</v>
      </c>
      <c r="G4" s="21" t="s">
        <v>87</v>
      </c>
    </row>
    <row r="5" customHeight="1" spans="2:7">
      <c r="B5" s="20"/>
      <c r="C5" s="12" t="s">
        <v>88</v>
      </c>
      <c r="D5" s="12">
        <v>30.02</v>
      </c>
      <c r="E5" s="12">
        <v>30.114</v>
      </c>
      <c r="F5" s="28">
        <v>0.094</v>
      </c>
      <c r="G5" s="13">
        <v>0</v>
      </c>
    </row>
    <row r="6" customHeight="1" spans="2:7">
      <c r="B6" s="10" t="s">
        <v>72</v>
      </c>
      <c r="C6" s="11" t="s">
        <v>68</v>
      </c>
      <c r="D6" s="11"/>
      <c r="E6" s="11"/>
      <c r="F6" s="11" t="s">
        <v>86</v>
      </c>
      <c r="G6" s="21" t="s">
        <v>87</v>
      </c>
    </row>
    <row r="7" customHeight="1" spans="2:7">
      <c r="B7" s="14"/>
      <c r="C7" s="12" t="s">
        <v>88</v>
      </c>
      <c r="D7" s="29">
        <v>30.062</v>
      </c>
      <c r="E7" s="12">
        <v>30.206</v>
      </c>
      <c r="F7" s="28">
        <f>E7-D7</f>
        <v>0.143999999999998</v>
      </c>
      <c r="G7" s="13">
        <v>0</v>
      </c>
    </row>
    <row r="8" customHeight="1" spans="2:7">
      <c r="B8" s="14"/>
      <c r="C8" s="12" t="s">
        <v>89</v>
      </c>
      <c r="D8" s="30">
        <v>30.026</v>
      </c>
      <c r="E8" s="12">
        <v>30.186</v>
      </c>
      <c r="F8" s="28">
        <f>E8-D8</f>
        <v>0.16</v>
      </c>
      <c r="G8" s="13">
        <v>0</v>
      </c>
    </row>
    <row r="9" customHeight="1" spans="2:7">
      <c r="B9" s="23"/>
      <c r="C9" s="31" t="s">
        <v>90</v>
      </c>
      <c r="D9" s="30">
        <v>30.046</v>
      </c>
      <c r="E9" s="31">
        <v>30.176</v>
      </c>
      <c r="F9" s="28">
        <f>E9-D9</f>
        <v>0.129999999999999</v>
      </c>
      <c r="G9" s="32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K18"/>
  <sheetViews>
    <sheetView workbookViewId="0">
      <selection activeCell="G23" sqref="G23"/>
    </sheetView>
  </sheetViews>
  <sheetFormatPr defaultColWidth="12.6339285714286" defaultRowHeight="15.75" customHeight="1"/>
  <cols>
    <col min="1" max="1" width="3.38392857142857" customWidth="1"/>
  </cols>
  <sheetData>
    <row r="2" customHeight="1" spans="2:11">
      <c r="B2" s="1" t="s">
        <v>84</v>
      </c>
      <c r="C2" s="2" t="s">
        <v>91</v>
      </c>
      <c r="D2" s="2"/>
      <c r="E2" s="2"/>
      <c r="F2" s="2"/>
      <c r="G2" s="2"/>
      <c r="H2" s="2"/>
      <c r="I2" s="2"/>
      <c r="J2" s="2"/>
      <c r="K2" s="3"/>
    </row>
    <row r="3" customHeight="1" spans="2:11">
      <c r="B3" s="4" t="s">
        <v>64</v>
      </c>
      <c r="C3" s="5">
        <v>46206</v>
      </c>
      <c r="D3" s="6"/>
      <c r="E3" s="7"/>
      <c r="F3" s="7"/>
      <c r="G3" s="8"/>
      <c r="H3" s="6" t="s">
        <v>66</v>
      </c>
      <c r="I3" s="7"/>
      <c r="J3" s="7"/>
      <c r="K3" s="9"/>
    </row>
    <row r="4" customHeight="1" spans="2:11">
      <c r="B4" s="10" t="s">
        <v>92</v>
      </c>
      <c r="C4" s="11" t="s">
        <v>68</v>
      </c>
      <c r="D4" s="11" t="s">
        <v>86</v>
      </c>
      <c r="E4" s="11" t="s">
        <v>87</v>
      </c>
      <c r="F4" s="12"/>
      <c r="G4" s="12"/>
      <c r="H4" s="11" t="s">
        <v>86</v>
      </c>
      <c r="I4" s="11" t="s">
        <v>87</v>
      </c>
      <c r="J4" s="12"/>
      <c r="K4" s="13"/>
    </row>
    <row r="5" customHeight="1" spans="2:11">
      <c r="B5" s="14"/>
      <c r="C5" s="15" t="s">
        <v>93</v>
      </c>
      <c r="D5" s="16">
        <v>30.168</v>
      </c>
      <c r="E5" s="16">
        <v>30.04</v>
      </c>
      <c r="F5" s="12"/>
      <c r="G5" s="12"/>
      <c r="H5" s="17">
        <v>-0.128</v>
      </c>
      <c r="I5" s="17">
        <v>0</v>
      </c>
      <c r="J5" s="12"/>
      <c r="K5" s="13"/>
    </row>
    <row r="6" customHeight="1" spans="2:11">
      <c r="B6" s="14"/>
      <c r="C6" s="11" t="s">
        <v>68</v>
      </c>
      <c r="D6" s="11" t="s">
        <v>69</v>
      </c>
      <c r="E6" s="11" t="s">
        <v>70</v>
      </c>
      <c r="F6" s="12"/>
      <c r="G6" s="12"/>
      <c r="H6" s="11" t="s">
        <v>69</v>
      </c>
      <c r="I6" s="11" t="s">
        <v>70</v>
      </c>
      <c r="J6" s="12"/>
      <c r="K6" s="13"/>
    </row>
    <row r="7" customHeight="1" spans="2:11">
      <c r="B7" s="14"/>
      <c r="C7" s="15" t="s">
        <v>94</v>
      </c>
      <c r="D7" s="16">
        <v>30.148</v>
      </c>
      <c r="E7" s="16">
        <v>30.008</v>
      </c>
      <c r="F7" s="12"/>
      <c r="G7" s="12"/>
      <c r="H7" s="18">
        <v>-0.14</v>
      </c>
      <c r="I7" s="19">
        <v>0</v>
      </c>
      <c r="J7" s="12"/>
      <c r="K7" s="13"/>
    </row>
    <row r="8" customHeight="1" spans="2:11">
      <c r="B8" s="14"/>
      <c r="C8" s="11" t="s">
        <v>68</v>
      </c>
      <c r="D8" s="11" t="s">
        <v>86</v>
      </c>
      <c r="E8" s="11" t="s">
        <v>87</v>
      </c>
      <c r="F8" s="12"/>
      <c r="G8" s="12"/>
      <c r="H8" s="11" t="s">
        <v>86</v>
      </c>
      <c r="I8" s="11" t="s">
        <v>87</v>
      </c>
      <c r="J8" s="12"/>
      <c r="K8" s="13"/>
    </row>
    <row r="9" customHeight="1" spans="2:11">
      <c r="B9" s="20"/>
      <c r="C9" s="15" t="s">
        <v>95</v>
      </c>
      <c r="D9" s="16">
        <v>30.2</v>
      </c>
      <c r="E9" s="19">
        <v>30.024</v>
      </c>
      <c r="F9" s="12"/>
      <c r="G9" s="12"/>
      <c r="H9" s="17">
        <v>-0.176</v>
      </c>
      <c r="I9" s="19">
        <v>0</v>
      </c>
      <c r="J9" s="12"/>
      <c r="K9" s="13"/>
    </row>
    <row r="10" customHeight="1" spans="2:11">
      <c r="B10" s="10" t="s">
        <v>96</v>
      </c>
      <c r="C10" s="11" t="s">
        <v>68</v>
      </c>
      <c r="D10" s="11" t="s">
        <v>97</v>
      </c>
      <c r="E10" s="11" t="s">
        <v>98</v>
      </c>
      <c r="F10" s="12"/>
      <c r="G10" s="12"/>
      <c r="H10" s="11" t="s">
        <v>97</v>
      </c>
      <c r="I10" s="11" t="s">
        <v>98</v>
      </c>
      <c r="J10" s="12"/>
      <c r="K10" s="13"/>
    </row>
    <row r="11" customHeight="1" spans="2:11">
      <c r="B11" s="14"/>
      <c r="C11" s="15" t="s">
        <v>99</v>
      </c>
      <c r="D11" s="16">
        <v>30.106</v>
      </c>
      <c r="E11" s="16">
        <v>30.03</v>
      </c>
      <c r="F11" s="12"/>
      <c r="G11" s="12"/>
      <c r="H11" s="19">
        <v>0</v>
      </c>
      <c r="I11" s="17">
        <v>0.076</v>
      </c>
      <c r="J11" s="12"/>
      <c r="K11" s="13"/>
    </row>
    <row r="12" customHeight="1" spans="2:11">
      <c r="B12" s="14"/>
      <c r="C12" s="15" t="s">
        <v>100</v>
      </c>
      <c r="D12" s="16">
        <v>30.028</v>
      </c>
      <c r="E12" s="16">
        <v>30</v>
      </c>
      <c r="F12" s="12"/>
      <c r="G12" s="12"/>
      <c r="H12" s="19">
        <v>0</v>
      </c>
      <c r="I12" s="17">
        <v>0.028</v>
      </c>
      <c r="J12" s="12"/>
      <c r="K12" s="13"/>
    </row>
    <row r="13" customHeight="1" spans="2:11">
      <c r="B13" s="20"/>
      <c r="C13" s="15" t="s">
        <v>101</v>
      </c>
      <c r="D13" s="16">
        <v>30.118</v>
      </c>
      <c r="E13" s="16">
        <v>30.004</v>
      </c>
      <c r="F13" s="12"/>
      <c r="G13" s="12"/>
      <c r="H13" s="19">
        <v>0</v>
      </c>
      <c r="I13" s="17">
        <v>0.114</v>
      </c>
      <c r="J13" s="12"/>
      <c r="K13" s="13"/>
    </row>
    <row r="14" customHeight="1" spans="2:11">
      <c r="B14" s="10" t="s">
        <v>102</v>
      </c>
      <c r="C14" s="11" t="s">
        <v>68</v>
      </c>
      <c r="D14" s="11" t="s">
        <v>103</v>
      </c>
      <c r="E14" s="11" t="s">
        <v>104</v>
      </c>
      <c r="F14" s="11" t="s">
        <v>105</v>
      </c>
      <c r="G14" s="11" t="s">
        <v>106</v>
      </c>
      <c r="H14" s="11" t="s">
        <v>103</v>
      </c>
      <c r="I14" s="11" t="s">
        <v>104</v>
      </c>
      <c r="J14" s="11" t="s">
        <v>105</v>
      </c>
      <c r="K14" s="21" t="s">
        <v>106</v>
      </c>
    </row>
    <row r="15" customHeight="1" spans="2:11">
      <c r="B15" s="14"/>
      <c r="C15" s="15" t="s">
        <v>107</v>
      </c>
      <c r="D15" s="16">
        <v>30.138</v>
      </c>
      <c r="E15" s="16">
        <v>30.172</v>
      </c>
      <c r="F15" s="16">
        <v>30.118</v>
      </c>
      <c r="G15" s="16">
        <v>30.082</v>
      </c>
      <c r="H15" s="17">
        <v>-0.02</v>
      </c>
      <c r="I15" s="17">
        <v>-0.054</v>
      </c>
      <c r="J15" s="17">
        <v>0</v>
      </c>
      <c r="K15" s="22">
        <v>0.036</v>
      </c>
    </row>
    <row r="16" customHeight="1" spans="2:11">
      <c r="B16" s="14"/>
      <c r="C16" s="15" t="s">
        <v>108</v>
      </c>
      <c r="D16" s="16">
        <v>30.126</v>
      </c>
      <c r="E16" s="16">
        <v>30.178</v>
      </c>
      <c r="F16" s="16">
        <v>30.116</v>
      </c>
      <c r="G16" s="16">
        <v>30.088</v>
      </c>
      <c r="H16" s="17">
        <v>-0.01</v>
      </c>
      <c r="I16" s="17">
        <v>-0.062</v>
      </c>
      <c r="J16" s="17">
        <v>0</v>
      </c>
      <c r="K16" s="22">
        <v>0.028</v>
      </c>
    </row>
    <row r="17" customHeight="1" spans="2:11">
      <c r="B17" s="14"/>
      <c r="C17" s="12" t="s">
        <v>109</v>
      </c>
      <c r="D17" s="16">
        <v>30.172</v>
      </c>
      <c r="E17" s="16">
        <v>30.278</v>
      </c>
      <c r="F17" s="16">
        <v>30.166</v>
      </c>
      <c r="G17" s="16">
        <v>30.196</v>
      </c>
      <c r="H17" s="17">
        <v>-0.006</v>
      </c>
      <c r="I17" s="17">
        <v>-0.112</v>
      </c>
      <c r="J17" s="17">
        <v>0</v>
      </c>
      <c r="K17" s="22">
        <v>-0.03</v>
      </c>
    </row>
    <row r="18" customHeight="1" spans="2:11">
      <c r="B18" s="23"/>
      <c r="C18" s="24" t="s">
        <v>110</v>
      </c>
      <c r="D18" s="25">
        <v>30.08</v>
      </c>
      <c r="E18" s="25">
        <v>30.164</v>
      </c>
      <c r="F18" s="25">
        <v>30.062</v>
      </c>
      <c r="G18" s="25">
        <v>30.038</v>
      </c>
      <c r="H18" s="26">
        <v>-0.018</v>
      </c>
      <c r="I18" s="26">
        <v>-0.102</v>
      </c>
      <c r="J18" s="26">
        <v>0</v>
      </c>
      <c r="K18" s="27">
        <v>0.024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Sumarry</vt:lpstr>
      <vt:lpstr>Z Stage</vt:lpstr>
      <vt:lpstr>8CH Pipette</vt:lpstr>
      <vt:lpstr>96CH Pipette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对方正在输入...</cp:lastModifiedBy>
  <dcterms:created xsi:type="dcterms:W3CDTF">2026-07-03T06:15:00Z</dcterms:created>
  <dcterms:modified xsi:type="dcterms:W3CDTF">2026-07-09T14:04:45Z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8D37BBDC8D5EB0001303466AE7F60A77_42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