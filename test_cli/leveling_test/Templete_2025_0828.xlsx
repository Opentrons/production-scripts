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arry" sheetId="1" r:id="rId5"/>
    <sheet state="visible" name="Z Stage" sheetId="2" r:id="rId6"/>
    <sheet state="visible" name="8CH Pipette" sheetId="3" r:id="rId7"/>
    <sheet state="visible" name="96CH Pipette" sheetId="4" r:id="rId8"/>
  </sheets>
  <definedNames/>
  <calcPr/>
</workbook>
</file>

<file path=xl/sharedStrings.xml><?xml version="1.0" encoding="utf-8"?>
<sst xmlns="http://schemas.openxmlformats.org/spreadsheetml/2006/main" count="160" uniqueCount="111">
  <si>
    <t>zstage_left-z-c2-rear</t>
  </si>
  <si>
    <t>zstage_left-z-c2-front</t>
  </si>
  <si>
    <t>zstage_right-z-a1-rear</t>
  </si>
  <si>
    <t>zstage_right-z-a1-front</t>
  </si>
  <si>
    <t>zstage_right-z-a2-rear</t>
  </si>
  <si>
    <t>zstage_right-z-a2-front</t>
  </si>
  <si>
    <t>zstage_right-z-a3-rear</t>
  </si>
  <si>
    <t>zstage_right-z-a3-front</t>
  </si>
  <si>
    <t>zstage_right-z-b1-rear</t>
  </si>
  <si>
    <t>zstage_right-z-b1-front</t>
  </si>
  <si>
    <t>zstage_right-z-b2-rear</t>
  </si>
  <si>
    <t>zstage_right-z-b2-front</t>
  </si>
  <si>
    <t>zstage_right-z-b3-rear</t>
  </si>
  <si>
    <t>zstage_right-z-b3-front</t>
  </si>
  <si>
    <t>zstage_right-z-c1-rear</t>
  </si>
  <si>
    <t>zstage_right-z-c1-front</t>
  </si>
  <si>
    <t>zstage_right-z-c2-rear</t>
  </si>
  <si>
    <t>zstage_right-z-c2-front</t>
  </si>
  <si>
    <t>zstage_right-z-c3-rear</t>
  </si>
  <si>
    <t>zstage_right-z-c3-front</t>
  </si>
  <si>
    <t>zstage_right-z-d1-rear</t>
  </si>
  <si>
    <t>zstage_right-z-d1-front</t>
  </si>
  <si>
    <t>zstage_right-z-d2-rear</t>
  </si>
  <si>
    <t>zstage_right-z-d2-front</t>
  </si>
  <si>
    <t>zstage_right-z-d3-rear</t>
  </si>
  <si>
    <t>zstage_right-z-d3-front</t>
  </si>
  <si>
    <t>ch8_left-y-c1-rear</t>
  </si>
  <si>
    <t>ch8_left-y-c1-front</t>
  </si>
  <si>
    <t>ch8_right-y-c1-rear</t>
  </si>
  <si>
    <t>ch8_right-y-c1-front</t>
  </si>
  <si>
    <t>ch8_right-y-c3-rear</t>
  </si>
  <si>
    <t>ch8_right-y-c3-front</t>
  </si>
  <si>
    <t>ch8_right-y-a2-rear</t>
  </si>
  <si>
    <t>ch8_right-y-a2-front</t>
  </si>
  <si>
    <t>ch96_c1-y-rear</t>
  </si>
  <si>
    <t>ch96_c1-y-front</t>
  </si>
  <si>
    <t>ch96_c3-y-rear</t>
  </si>
  <si>
    <t>ch96_c3-y-front</t>
  </si>
  <si>
    <t>ch96_a2-y-rear</t>
  </si>
  <si>
    <t>ch96_a2-y-front</t>
  </si>
  <si>
    <t>ch96_c1-x-left</t>
  </si>
  <si>
    <t>ch96_c1-x-right</t>
  </si>
  <si>
    <t>ch96_c3-x-left</t>
  </si>
  <si>
    <t>ch96_c3-x-right</t>
  </si>
  <si>
    <t>ch96_a2-x-left</t>
  </si>
  <si>
    <t>ch96_a2-x-right</t>
  </si>
  <si>
    <t>ch96_d1-z-rear_left</t>
  </si>
  <si>
    <t>ch96_d1-z-rear_right</t>
  </si>
  <si>
    <t>ch96_d1-z-front_left</t>
  </si>
  <si>
    <t>ch96_d1-z-front_right</t>
  </si>
  <si>
    <t>ch96_d3-z-rear_left</t>
  </si>
  <si>
    <t>ch96_d3-z-rear_right</t>
  </si>
  <si>
    <t>ch96_d3-z-front_left</t>
  </si>
  <si>
    <t>ch96_d3-z-front_right</t>
  </si>
  <si>
    <t>ch96_c2-z-rear_left</t>
  </si>
  <si>
    <t>ch96_c2-z-rear_right</t>
  </si>
  <si>
    <t>ch96_c2-z-front_left</t>
  </si>
  <si>
    <t>ch96_c2-z-front_right</t>
  </si>
  <si>
    <t>ch96_a2-z-rear_left</t>
  </si>
  <si>
    <t>ch96_a2-z-rear_right</t>
  </si>
  <si>
    <t>ch96_a2-z-front_left</t>
  </si>
  <si>
    <t>ch96_a2-z-front_right</t>
  </si>
  <si>
    <t>Fixture Name</t>
  </si>
  <si>
    <t>Z Stage Leveling</t>
  </si>
  <si>
    <t>Date</t>
  </si>
  <si>
    <t>measurement</t>
  </si>
  <si>
    <t>compensation</t>
  </si>
  <si>
    <t>Left</t>
  </si>
  <si>
    <t>Block</t>
  </si>
  <si>
    <t>rear(ch3)</t>
  </si>
  <si>
    <t>front(ch2)</t>
  </si>
  <si>
    <t>Z-C2</t>
  </si>
  <si>
    <t>Right</t>
  </si>
  <si>
    <t>Z-A1</t>
  </si>
  <si>
    <t>Z-A2</t>
  </si>
  <si>
    <t>Z-A3</t>
  </si>
  <si>
    <t>Z-B1</t>
  </si>
  <si>
    <t>Z-B2</t>
  </si>
  <si>
    <t>Z-B3</t>
  </si>
  <si>
    <t>Z-C1</t>
  </si>
  <si>
    <t>Z-C3</t>
  </si>
  <si>
    <t>Z-D1</t>
  </si>
  <si>
    <t>Z-D2</t>
  </si>
  <si>
    <t>Z-D3</t>
  </si>
  <si>
    <t>FixtureName</t>
  </si>
  <si>
    <t>8CH Pipette</t>
  </si>
  <si>
    <t>rear(ch1)</t>
  </si>
  <si>
    <t>front(ch0)</t>
  </si>
  <si>
    <t>Y-C1</t>
  </si>
  <si>
    <t>Y-C3</t>
  </si>
  <si>
    <t>Y-A2</t>
  </si>
  <si>
    <t>96CH Pipette</t>
  </si>
  <si>
    <t>Y Axis</t>
  </si>
  <si>
    <t>C1-Y</t>
  </si>
  <si>
    <t>C3-Y</t>
  </si>
  <si>
    <t>A2-Y</t>
  </si>
  <si>
    <t>X Axis</t>
  </si>
  <si>
    <t>left(ch4)</t>
  </si>
  <si>
    <t>right(ch5)</t>
  </si>
  <si>
    <t>C1-X</t>
  </si>
  <si>
    <t>C3-X</t>
  </si>
  <si>
    <t>A2-X</t>
  </si>
  <si>
    <t>Z Axis</t>
  </si>
  <si>
    <t>rear_left(ch10)</t>
  </si>
  <si>
    <t>rear_right(ch11)</t>
  </si>
  <si>
    <t>front_left(ch8)</t>
  </si>
  <si>
    <t>front_right(ch9)</t>
  </si>
  <si>
    <t>D1-Z</t>
  </si>
  <si>
    <t>D3-Z</t>
  </si>
  <si>
    <t>C2-Z</t>
  </si>
  <si>
    <t>A2-Z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</si>
</sst>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color rgb="FF0000FF"/>
      <name val="Arial"/>
    </font>
    <font>
      <color rgb="FFFF0000"/>
      <name val="Arial"/>
    </font>
    <font>
      <sz val="11.0"/>
      <color theme="1"/>
      <name val="Arial"/>
    </font>
    <font>
      <color rgb="FF4285F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5" fillId="0" fontId="2" numFmtId="164" xfId="0" applyAlignment="1" applyBorder="1" applyFont="1" applyNumberFormat="1">
      <alignment vertical="bottom"/>
    </xf>
    <xf borderId="6" fillId="0" fontId="3" numFmtId="0" xfId="0" applyAlignment="1" applyBorder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/>
    </xf>
    <xf borderId="5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4" numFmtId="0" xfId="0" applyBorder="1" applyFont="1"/>
    <xf borderId="5" fillId="0" fontId="2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2" fillId="0" fontId="4" numFmtId="0" xfId="0" applyBorder="1" applyFont="1"/>
    <xf borderId="5" fillId="0" fontId="6" numFmtId="0" xfId="0" applyAlignment="1" applyBorder="1" applyFont="1">
      <alignment vertical="bottom"/>
    </xf>
    <xf borderId="13" fillId="0" fontId="4" numFmtId="0" xfId="0" applyBorder="1" applyFont="1"/>
    <xf borderId="14" fillId="0" fontId="6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6" fillId="0" fontId="4" numFmtId="0" xfId="0" applyBorder="1" applyFont="1"/>
    <xf borderId="5" fillId="0" fontId="7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10" fillId="0" fontId="5" numFmtId="0" xfId="0" applyAlignment="1" applyBorder="1" applyFont="1">
      <alignment horizontal="right" vertical="bottom"/>
    </xf>
    <xf borderId="14" fillId="0" fontId="7" numFmtId="0" xfId="0" applyAlignment="1" applyBorder="1" applyFont="1">
      <alignment horizontal="right" vertical="bottom"/>
    </xf>
    <xf borderId="14" fillId="0" fontId="5" numFmtId="0" xfId="0" applyAlignment="1" applyBorder="1" applyFont="1">
      <alignment horizontal="right" vertical="bottom"/>
    </xf>
    <xf borderId="1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9.25"/>
    <col customWidth="1" min="3" max="3" width="31.63"/>
    <col customWidth="1" min="4" max="4" width="8.0"/>
    <col customWidth="1" min="5" max="5" width="15.63"/>
    <col customWidth="1" min="6" max="6" width="9.0"/>
    <col customWidth="1" min="7" max="7" width="17.75"/>
    <col customWidth="1" min="8" max="8" width="9.75"/>
  </cols>
  <sheetData>
    <row r="1">
      <c r="A1" s="1" t="s">
        <v>0</v>
      </c>
      <c r="B1" s="2">
        <f>'Z Stage'!F5</f>
        <v>0.014</v>
      </c>
      <c r="C1" s="1" t="s">
        <v>1</v>
      </c>
      <c r="D1" s="2">
        <f>'Z Stage'!G5</f>
        <v>0</v>
      </c>
    </row>
    <row r="2">
      <c r="A2" s="1" t="s">
        <v>2</v>
      </c>
      <c r="B2" s="2">
        <f>'Z Stage'!F7</f>
        <v>-0.056</v>
      </c>
      <c r="C2" s="1" t="s">
        <v>3</v>
      </c>
      <c r="D2" s="2">
        <f>'Z Stage'!G7</f>
        <v>0</v>
      </c>
    </row>
    <row r="3">
      <c r="A3" s="1" t="s">
        <v>4</v>
      </c>
      <c r="B3" s="2">
        <f>'Z Stage'!F8</f>
        <v>-0.07</v>
      </c>
      <c r="C3" s="1" t="s">
        <v>5</v>
      </c>
      <c r="D3" s="2">
        <f>'Z Stage'!G8</f>
        <v>0</v>
      </c>
    </row>
    <row r="4">
      <c r="A4" s="1" t="s">
        <v>6</v>
      </c>
      <c r="B4" s="2">
        <f>'Z Stage'!F9</f>
        <v>-0.062</v>
      </c>
      <c r="C4" s="1" t="s">
        <v>7</v>
      </c>
      <c r="D4" s="2">
        <f>'Z Stage'!G9</f>
        <v>0</v>
      </c>
    </row>
    <row r="5">
      <c r="A5" s="1" t="s">
        <v>8</v>
      </c>
      <c r="B5" s="2">
        <f>'Z Stage'!F10</f>
        <v>-0.17</v>
      </c>
      <c r="C5" s="1" t="s">
        <v>9</v>
      </c>
      <c r="D5" s="2">
        <f>'Z Stage'!G10</f>
        <v>0</v>
      </c>
    </row>
    <row r="6">
      <c r="A6" s="1" t="s">
        <v>10</v>
      </c>
      <c r="B6" s="2">
        <f>'Z Stage'!F11</f>
        <v>-0.088</v>
      </c>
      <c r="C6" s="1" t="s">
        <v>11</v>
      </c>
      <c r="D6" s="2">
        <f>'Z Stage'!G11</f>
        <v>0</v>
      </c>
    </row>
    <row r="7">
      <c r="A7" s="1" t="s">
        <v>12</v>
      </c>
      <c r="B7" s="2">
        <f>'Z Stage'!F12</f>
        <v>-0.068</v>
      </c>
      <c r="C7" s="1" t="s">
        <v>13</v>
      </c>
      <c r="D7" s="2">
        <f>'Z Stage'!G12</f>
        <v>0</v>
      </c>
    </row>
    <row r="8">
      <c r="A8" s="1" t="s">
        <v>14</v>
      </c>
      <c r="B8" s="2">
        <f>'Z Stage'!F13</f>
        <v>-0.098</v>
      </c>
      <c r="C8" s="1" t="s">
        <v>15</v>
      </c>
      <c r="D8" s="2">
        <f>'Z Stage'!G13</f>
        <v>0</v>
      </c>
    </row>
    <row r="9">
      <c r="A9" s="1" t="s">
        <v>16</v>
      </c>
      <c r="B9" s="2">
        <f>'Z Stage'!F14</f>
        <v>-0.03</v>
      </c>
      <c r="C9" s="1" t="s">
        <v>17</v>
      </c>
      <c r="D9" s="2">
        <f>'Z Stage'!G14</f>
        <v>0</v>
      </c>
    </row>
    <row r="10">
      <c r="A10" s="1" t="s">
        <v>18</v>
      </c>
      <c r="B10" s="2">
        <f>'Z Stage'!F15</f>
        <v>-0.044</v>
      </c>
      <c r="C10" s="1" t="s">
        <v>19</v>
      </c>
      <c r="D10" s="2">
        <f>'Z Stage'!G15</f>
        <v>0</v>
      </c>
    </row>
    <row r="11">
      <c r="A11" s="1" t="s">
        <v>20</v>
      </c>
      <c r="B11" s="2">
        <f>'Z Stage'!F16</f>
        <v>-0.05</v>
      </c>
      <c r="C11" s="1" t="s">
        <v>21</v>
      </c>
      <c r="D11" s="2">
        <f>'Z Stage'!G16</f>
        <v>0</v>
      </c>
    </row>
    <row r="12">
      <c r="A12" s="1" t="s">
        <v>22</v>
      </c>
      <c r="B12" s="2">
        <f>'Z Stage'!F17</f>
        <v>-0.15</v>
      </c>
      <c r="C12" s="1" t="s">
        <v>23</v>
      </c>
      <c r="D12" s="2">
        <f>'Z Stage'!G17</f>
        <v>0</v>
      </c>
    </row>
    <row r="13">
      <c r="A13" s="1" t="s">
        <v>24</v>
      </c>
      <c r="B13" s="2">
        <f>'Z Stage'!F18</f>
        <v>-0.058</v>
      </c>
      <c r="C13" s="1" t="s">
        <v>25</v>
      </c>
      <c r="D13" s="2">
        <f>'Z Stage'!G18</f>
        <v>0</v>
      </c>
    </row>
    <row r="14">
      <c r="A14" s="3" t="s">
        <v>26</v>
      </c>
      <c r="B14" s="2">
        <f>'8CH Pipette'!F5</f>
        <v>0.024</v>
      </c>
      <c r="C14" s="3" t="s">
        <v>27</v>
      </c>
      <c r="D14" s="2">
        <f>'8CH Pipette'!G5</f>
        <v>0</v>
      </c>
    </row>
    <row r="15">
      <c r="A15" s="3" t="s">
        <v>28</v>
      </c>
      <c r="B15" s="2">
        <f>'8CH Pipette'!F7</f>
        <v>0.06</v>
      </c>
      <c r="C15" s="3" t="s">
        <v>29</v>
      </c>
      <c r="D15" s="2">
        <f>'8CH Pipette'!G7</f>
        <v>0</v>
      </c>
    </row>
    <row r="16">
      <c r="A16" s="3" t="s">
        <v>30</v>
      </c>
      <c r="B16" s="2">
        <f>'8CH Pipette'!F8</f>
        <v>0.032</v>
      </c>
      <c r="C16" s="3" t="s">
        <v>31</v>
      </c>
      <c r="D16" s="2">
        <f>'8CH Pipette'!G8</f>
        <v>0</v>
      </c>
    </row>
    <row r="17">
      <c r="A17" s="3" t="s">
        <v>32</v>
      </c>
      <c r="B17" s="2">
        <f>'8CH Pipette'!F9</f>
        <v>0.032</v>
      </c>
      <c r="C17" s="3" t="s">
        <v>33</v>
      </c>
      <c r="D17" s="2">
        <f>'8CH Pipette'!G9</f>
        <v>0</v>
      </c>
    </row>
    <row r="18">
      <c r="A18" s="4" t="s">
        <v>34</v>
      </c>
      <c r="B18" s="2">
        <f>'96CH Pipette'!H5</f>
        <v>-0.006</v>
      </c>
      <c r="C18" s="4" t="s">
        <v>35</v>
      </c>
      <c r="D18" s="2">
        <f>'96CH Pipette'!I5</f>
        <v>0</v>
      </c>
      <c r="F18" s="2" t="str">
        <f>'96CH Pipette'!J5</f>
        <v/>
      </c>
      <c r="H18" s="2" t="str">
        <f>'96CH Pipette'!K5</f>
        <v/>
      </c>
    </row>
    <row r="19">
      <c r="A19" s="4" t="s">
        <v>36</v>
      </c>
      <c r="B19" s="2">
        <f>'96CH Pipette'!H7</f>
        <v>-0.054</v>
      </c>
      <c r="C19" s="4" t="s">
        <v>37</v>
      </c>
      <c r="D19" s="2">
        <f>'96CH Pipette'!I7</f>
        <v>0</v>
      </c>
      <c r="F19" s="2" t="str">
        <f>'96CH Pipette'!J7</f>
        <v/>
      </c>
      <c r="H19" s="2" t="str">
        <f>'96CH Pipette'!K7</f>
        <v/>
      </c>
      <c r="I19" s="2" t="str">
        <f>'96CH Pipette'!L7</f>
        <v/>
      </c>
    </row>
    <row r="20">
      <c r="A20" s="4" t="s">
        <v>38</v>
      </c>
      <c r="B20" s="2">
        <f>'96CH Pipette'!H9</f>
        <v>-0.086</v>
      </c>
      <c r="C20" s="4" t="s">
        <v>39</v>
      </c>
      <c r="D20" s="2">
        <f>'96CH Pipette'!I9</f>
        <v>0</v>
      </c>
      <c r="F20" s="2" t="str">
        <f>'96CH Pipette'!J9</f>
        <v/>
      </c>
      <c r="H20" s="2" t="str">
        <f>'96CH Pipette'!K9</f>
        <v/>
      </c>
    </row>
    <row r="21">
      <c r="A21" s="4" t="s">
        <v>40</v>
      </c>
      <c r="B21" s="2">
        <f>'96CH Pipette'!H11</f>
        <v>0</v>
      </c>
      <c r="C21" s="4" t="s">
        <v>41</v>
      </c>
      <c r="D21" s="2">
        <f>'96CH Pipette'!I11</f>
        <v>0.054</v>
      </c>
      <c r="F21" s="2" t="str">
        <f>'96CH Pipette'!J11</f>
        <v/>
      </c>
      <c r="H21" s="2" t="str">
        <f>'96CH Pipette'!K11</f>
        <v/>
      </c>
    </row>
    <row r="22">
      <c r="A22" s="4" t="s">
        <v>42</v>
      </c>
      <c r="B22" s="2">
        <f>'96CH Pipette'!H12</f>
        <v>0</v>
      </c>
      <c r="C22" s="4" t="s">
        <v>43</v>
      </c>
      <c r="D22" s="2">
        <f>'96CH Pipette'!I12</f>
        <v>0.036</v>
      </c>
      <c r="F22" s="2" t="str">
        <f>'96CH Pipette'!J12</f>
        <v/>
      </c>
      <c r="H22" s="2" t="str">
        <f>'96CH Pipette'!K12</f>
        <v/>
      </c>
    </row>
    <row r="23">
      <c r="A23" s="4" t="s">
        <v>44</v>
      </c>
      <c r="B23" s="2">
        <f>'96CH Pipette'!H13</f>
        <v>0</v>
      </c>
      <c r="C23" s="4" t="s">
        <v>45</v>
      </c>
      <c r="D23" s="2">
        <f>'96CH Pipette'!I13</f>
        <v>0.048</v>
      </c>
      <c r="F23" s="2" t="str">
        <f>'96CH Pipette'!J13</f>
        <v/>
      </c>
      <c r="H23" s="2" t="str">
        <f>'96CH Pipette'!K13</f>
        <v/>
      </c>
    </row>
    <row r="24">
      <c r="A24" s="4" t="s">
        <v>46</v>
      </c>
      <c r="B24" s="2">
        <f>'96CH Pipette'!H15</f>
        <v>-0.056</v>
      </c>
      <c r="C24" s="4" t="s">
        <v>47</v>
      </c>
      <c r="D24" s="2">
        <f>'96CH Pipette'!I15</f>
        <v>-0.078</v>
      </c>
      <c r="E24" s="4" t="s">
        <v>48</v>
      </c>
      <c r="F24" s="2">
        <f>'96CH Pipette'!J15</f>
        <v>0</v>
      </c>
      <c r="G24" s="4" t="s">
        <v>49</v>
      </c>
      <c r="H24" s="2">
        <f>'96CH Pipette'!K15</f>
        <v>0.082</v>
      </c>
    </row>
    <row r="25">
      <c r="A25" s="4" t="s">
        <v>50</v>
      </c>
      <c r="B25" s="2">
        <f>'96CH Pipette'!H16</f>
        <v>-0.058</v>
      </c>
      <c r="C25" s="4" t="s">
        <v>51</v>
      </c>
      <c r="D25" s="2">
        <f>'96CH Pipette'!I16</f>
        <v>-0.092</v>
      </c>
      <c r="E25" s="4" t="s">
        <v>52</v>
      </c>
      <c r="F25" s="2">
        <f>'96CH Pipette'!J16</f>
        <v>0</v>
      </c>
      <c r="G25" s="4" t="s">
        <v>53</v>
      </c>
      <c r="H25" s="2">
        <f>'96CH Pipette'!K16</f>
        <v>0.05</v>
      </c>
    </row>
    <row r="26">
      <c r="A26" s="4" t="s">
        <v>54</v>
      </c>
      <c r="B26" s="2">
        <f>'96CH Pipette'!H17</f>
        <v>0.062</v>
      </c>
      <c r="C26" s="4" t="s">
        <v>55</v>
      </c>
      <c r="D26" s="2">
        <f>'96CH Pipette'!I17</f>
        <v>0.14</v>
      </c>
      <c r="E26" s="4" t="s">
        <v>56</v>
      </c>
      <c r="F26" s="2">
        <f>'96CH Pipette'!J17</f>
        <v>0</v>
      </c>
      <c r="G26" s="4" t="s">
        <v>57</v>
      </c>
      <c r="H26" s="2">
        <f>'96CH Pipette'!K17</f>
        <v>0.016</v>
      </c>
    </row>
    <row r="27">
      <c r="A27" s="4" t="s">
        <v>58</v>
      </c>
      <c r="B27" s="2">
        <f>'96CH Pipette'!H18</f>
        <v>-0.056</v>
      </c>
      <c r="C27" s="4" t="s">
        <v>59</v>
      </c>
      <c r="D27" s="2">
        <f>'96CH Pipette'!I18</f>
        <v>-0.09</v>
      </c>
      <c r="E27" s="4" t="s">
        <v>60</v>
      </c>
      <c r="F27" s="2">
        <f>'96CH Pipette'!J18</f>
        <v>0</v>
      </c>
      <c r="G27" s="4" t="s">
        <v>61</v>
      </c>
      <c r="H27" s="2">
        <f>'96CH Pipette'!K18</f>
        <v>0.078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2">
      <c r="B2" s="5" t="s">
        <v>62</v>
      </c>
      <c r="C2" s="6" t="s">
        <v>63</v>
      </c>
      <c r="D2" s="6"/>
      <c r="E2" s="6"/>
      <c r="F2" s="6"/>
      <c r="G2" s="7"/>
    </row>
    <row r="3">
      <c r="B3" s="8" t="s">
        <v>64</v>
      </c>
      <c r="C3" s="9">
        <v>45897.0</v>
      </c>
      <c r="D3" s="10" t="s">
        <v>65</v>
      </c>
      <c r="E3" s="11"/>
      <c r="F3" s="10" t="s">
        <v>66</v>
      </c>
      <c r="G3" s="12"/>
    </row>
    <row r="4">
      <c r="B4" s="13" t="s">
        <v>67</v>
      </c>
      <c r="C4" s="14" t="s">
        <v>68</v>
      </c>
      <c r="D4" s="14" t="s">
        <v>69</v>
      </c>
      <c r="E4" s="15" t="s">
        <v>70</v>
      </c>
      <c r="F4" s="14" t="s">
        <v>69</v>
      </c>
      <c r="G4" s="15" t="s">
        <v>70</v>
      </c>
    </row>
    <row r="5">
      <c r="B5" s="16"/>
      <c r="C5" s="17" t="s">
        <v>71</v>
      </c>
      <c r="D5" s="17">
        <v>30.024</v>
      </c>
      <c r="E5" s="17">
        <v>30.038</v>
      </c>
      <c r="F5" s="18">
        <f>E5-D5</f>
        <v>0.014</v>
      </c>
      <c r="G5" s="19">
        <v>0.0</v>
      </c>
    </row>
    <row r="6">
      <c r="B6" s="13" t="s">
        <v>72</v>
      </c>
      <c r="C6" s="14" t="s">
        <v>68</v>
      </c>
      <c r="D6" s="14" t="s">
        <v>69</v>
      </c>
      <c r="E6" s="14" t="s">
        <v>70</v>
      </c>
      <c r="F6" s="14" t="s">
        <v>69</v>
      </c>
      <c r="G6" s="15" t="s">
        <v>70</v>
      </c>
    </row>
    <row r="7">
      <c r="B7" s="20"/>
      <c r="C7" s="21" t="s">
        <v>73</v>
      </c>
      <c r="D7" s="17">
        <v>30.346</v>
      </c>
      <c r="E7" s="17">
        <v>30.29</v>
      </c>
      <c r="F7" s="18">
        <f t="shared" ref="F7:F18" si="1">E7-D7</f>
        <v>-0.056</v>
      </c>
      <c r="G7" s="19">
        <v>0.0</v>
      </c>
    </row>
    <row r="8">
      <c r="B8" s="20"/>
      <c r="C8" s="21" t="s">
        <v>74</v>
      </c>
      <c r="D8" s="17">
        <v>29.944</v>
      </c>
      <c r="E8" s="17">
        <v>29.874</v>
      </c>
      <c r="F8" s="18">
        <f t="shared" si="1"/>
        <v>-0.07</v>
      </c>
      <c r="G8" s="19">
        <v>0.0</v>
      </c>
    </row>
    <row r="9">
      <c r="B9" s="20"/>
      <c r="C9" s="21" t="s">
        <v>75</v>
      </c>
      <c r="D9" s="17">
        <v>30.122</v>
      </c>
      <c r="E9" s="17">
        <v>30.06</v>
      </c>
      <c r="F9" s="18">
        <f t="shared" si="1"/>
        <v>-0.062</v>
      </c>
      <c r="G9" s="19">
        <v>0.0</v>
      </c>
    </row>
    <row r="10">
      <c r="B10" s="20"/>
      <c r="C10" s="21" t="s">
        <v>76</v>
      </c>
      <c r="D10" s="17">
        <v>30.048</v>
      </c>
      <c r="E10" s="17">
        <v>29.878</v>
      </c>
      <c r="F10" s="18">
        <f t="shared" si="1"/>
        <v>-0.17</v>
      </c>
      <c r="G10" s="19">
        <v>0.0</v>
      </c>
    </row>
    <row r="11">
      <c r="B11" s="20"/>
      <c r="C11" s="21" t="s">
        <v>77</v>
      </c>
      <c r="D11" s="17">
        <v>29.894</v>
      </c>
      <c r="E11" s="17">
        <v>29.806</v>
      </c>
      <c r="F11" s="18">
        <f t="shared" si="1"/>
        <v>-0.088</v>
      </c>
      <c r="G11" s="19">
        <v>0.0</v>
      </c>
    </row>
    <row r="12">
      <c r="B12" s="20"/>
      <c r="C12" s="21" t="s">
        <v>78</v>
      </c>
      <c r="D12" s="17">
        <v>30.04</v>
      </c>
      <c r="E12" s="17">
        <v>29.972</v>
      </c>
      <c r="F12" s="18">
        <f t="shared" si="1"/>
        <v>-0.068</v>
      </c>
      <c r="G12" s="19">
        <v>0.0</v>
      </c>
    </row>
    <row r="13">
      <c r="B13" s="20"/>
      <c r="C13" s="21" t="s">
        <v>79</v>
      </c>
      <c r="D13" s="17">
        <v>30.124</v>
      </c>
      <c r="E13" s="17">
        <v>30.026</v>
      </c>
      <c r="F13" s="18">
        <f t="shared" si="1"/>
        <v>-0.098</v>
      </c>
      <c r="G13" s="19">
        <v>0.0</v>
      </c>
    </row>
    <row r="14">
      <c r="B14" s="20"/>
      <c r="C14" s="21" t="s">
        <v>71</v>
      </c>
      <c r="D14" s="17">
        <v>30.12</v>
      </c>
      <c r="E14" s="17">
        <v>30.09</v>
      </c>
      <c r="F14" s="18">
        <f t="shared" si="1"/>
        <v>-0.03</v>
      </c>
      <c r="G14" s="19">
        <v>0.0</v>
      </c>
    </row>
    <row r="15">
      <c r="B15" s="20"/>
      <c r="C15" s="21" t="s">
        <v>80</v>
      </c>
      <c r="D15" s="17">
        <v>30.15</v>
      </c>
      <c r="E15" s="17">
        <v>30.106</v>
      </c>
      <c r="F15" s="18">
        <f t="shared" si="1"/>
        <v>-0.044</v>
      </c>
      <c r="G15" s="19">
        <v>0.0</v>
      </c>
    </row>
    <row r="16">
      <c r="B16" s="20"/>
      <c r="C16" s="21" t="s">
        <v>81</v>
      </c>
      <c r="D16" s="17">
        <v>30.086</v>
      </c>
      <c r="E16" s="17">
        <v>30.036</v>
      </c>
      <c r="F16" s="18">
        <f t="shared" si="1"/>
        <v>-0.05</v>
      </c>
      <c r="G16" s="19">
        <v>0.0</v>
      </c>
    </row>
    <row r="17">
      <c r="B17" s="20"/>
      <c r="C17" s="21" t="s">
        <v>82</v>
      </c>
      <c r="D17" s="17">
        <v>30.036</v>
      </c>
      <c r="E17" s="17">
        <v>29.886</v>
      </c>
      <c r="F17" s="18">
        <f t="shared" si="1"/>
        <v>-0.15</v>
      </c>
      <c r="G17" s="19">
        <v>0.0</v>
      </c>
    </row>
    <row r="18">
      <c r="B18" s="22"/>
      <c r="C18" s="23" t="s">
        <v>83</v>
      </c>
      <c r="D18" s="24">
        <v>30.08</v>
      </c>
      <c r="E18" s="24">
        <v>30.022</v>
      </c>
      <c r="F18" s="25">
        <f t="shared" si="1"/>
        <v>-0.058</v>
      </c>
      <c r="G18" s="26">
        <v>0.0</v>
      </c>
    </row>
  </sheetData>
  <mergeCells count="4">
    <mergeCell ref="D3:E3"/>
    <mergeCell ref="F3:G3"/>
    <mergeCell ref="B4:B5"/>
    <mergeCell ref="B6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2">
      <c r="B2" s="5" t="s">
        <v>84</v>
      </c>
      <c r="C2" s="6" t="s">
        <v>85</v>
      </c>
      <c r="D2" s="6"/>
      <c r="E2" s="6"/>
      <c r="F2" s="6"/>
      <c r="G2" s="7"/>
    </row>
    <row r="3">
      <c r="B3" s="8" t="s">
        <v>64</v>
      </c>
      <c r="C3" s="9">
        <v>45897.0</v>
      </c>
      <c r="D3" s="10" t="s">
        <v>65</v>
      </c>
      <c r="E3" s="11"/>
      <c r="F3" s="10" t="s">
        <v>66</v>
      </c>
      <c r="G3" s="12"/>
    </row>
    <row r="4">
      <c r="B4" s="13" t="s">
        <v>67</v>
      </c>
      <c r="C4" s="14" t="s">
        <v>68</v>
      </c>
      <c r="D4" s="14" t="s">
        <v>86</v>
      </c>
      <c r="E4" s="14" t="s">
        <v>87</v>
      </c>
      <c r="F4" s="14" t="s">
        <v>86</v>
      </c>
      <c r="G4" s="15" t="s">
        <v>87</v>
      </c>
    </row>
    <row r="5">
      <c r="B5" s="16"/>
      <c r="C5" s="17" t="s">
        <v>88</v>
      </c>
      <c r="D5" s="17">
        <v>30.034</v>
      </c>
      <c r="E5" s="17">
        <v>30.058</v>
      </c>
      <c r="F5" s="18">
        <f>E5-D5</f>
        <v>0.024</v>
      </c>
      <c r="G5" s="19">
        <v>0.0</v>
      </c>
    </row>
    <row r="6">
      <c r="B6" s="13" t="s">
        <v>72</v>
      </c>
      <c r="C6" s="14" t="s">
        <v>68</v>
      </c>
      <c r="D6" s="14" t="s">
        <v>86</v>
      </c>
      <c r="E6" s="14" t="s">
        <v>87</v>
      </c>
      <c r="F6" s="14" t="s">
        <v>86</v>
      </c>
      <c r="G6" s="15" t="s">
        <v>87</v>
      </c>
    </row>
    <row r="7">
      <c r="B7" s="20"/>
      <c r="C7" s="17" t="s">
        <v>88</v>
      </c>
      <c r="D7" s="17">
        <v>30.026</v>
      </c>
      <c r="E7" s="17">
        <v>30.086</v>
      </c>
      <c r="F7" s="18">
        <f t="shared" ref="F7:F9" si="1">E7-D7</f>
        <v>0.06</v>
      </c>
      <c r="G7" s="19">
        <v>0.0</v>
      </c>
    </row>
    <row r="8">
      <c r="B8" s="20"/>
      <c r="C8" s="17" t="s">
        <v>89</v>
      </c>
      <c r="D8" s="17">
        <v>30.008</v>
      </c>
      <c r="E8" s="17">
        <v>30.04</v>
      </c>
      <c r="F8" s="18">
        <f t="shared" si="1"/>
        <v>0.032</v>
      </c>
      <c r="G8" s="19">
        <v>0.0</v>
      </c>
    </row>
    <row r="9">
      <c r="B9" s="22"/>
      <c r="C9" s="24" t="s">
        <v>90</v>
      </c>
      <c r="D9" s="24">
        <v>30.02</v>
      </c>
      <c r="E9" s="24">
        <v>30.052</v>
      </c>
      <c r="F9" s="25">
        <f t="shared" si="1"/>
        <v>0.032</v>
      </c>
      <c r="G9" s="26">
        <v>0.0</v>
      </c>
    </row>
  </sheetData>
  <mergeCells count="4">
    <mergeCell ref="D3:E3"/>
    <mergeCell ref="F3:G3"/>
    <mergeCell ref="B4:B5"/>
    <mergeCell ref="B6:B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2">
      <c r="B2" s="27" t="s">
        <v>84</v>
      </c>
      <c r="C2" s="6" t="s">
        <v>91</v>
      </c>
      <c r="D2" s="6"/>
      <c r="E2" s="6"/>
      <c r="F2" s="6"/>
      <c r="G2" s="6"/>
      <c r="H2" s="6"/>
      <c r="I2" s="6"/>
      <c r="J2" s="6"/>
      <c r="K2" s="7"/>
    </row>
    <row r="3">
      <c r="B3" s="28" t="s">
        <v>64</v>
      </c>
      <c r="C3" s="9">
        <v>45897.0</v>
      </c>
      <c r="D3" s="10" t="s">
        <v>65</v>
      </c>
      <c r="E3" s="29"/>
      <c r="F3" s="29"/>
      <c r="G3" s="11"/>
      <c r="H3" s="10" t="s">
        <v>66</v>
      </c>
      <c r="I3" s="29"/>
      <c r="J3" s="29"/>
      <c r="K3" s="12"/>
    </row>
    <row r="4">
      <c r="B4" s="13" t="s">
        <v>92</v>
      </c>
      <c r="C4" s="14" t="s">
        <v>68</v>
      </c>
      <c r="D4" s="14" t="s">
        <v>86</v>
      </c>
      <c r="E4" s="14" t="s">
        <v>87</v>
      </c>
      <c r="F4" s="17"/>
      <c r="G4" s="17"/>
      <c r="H4" s="14" t="s">
        <v>86</v>
      </c>
      <c r="I4" s="14" t="s">
        <v>87</v>
      </c>
      <c r="J4" s="17"/>
      <c r="K4" s="19"/>
    </row>
    <row r="5">
      <c r="B5" s="20"/>
      <c r="C5" s="21" t="s">
        <v>93</v>
      </c>
      <c r="D5" s="30">
        <v>29.974</v>
      </c>
      <c r="E5" s="30">
        <v>29.968</v>
      </c>
      <c r="F5" s="17"/>
      <c r="G5" s="17"/>
      <c r="H5" s="31">
        <f>E5-D5</f>
        <v>-0.006</v>
      </c>
      <c r="I5" s="31">
        <v>0.0</v>
      </c>
      <c r="J5" s="17"/>
      <c r="K5" s="19"/>
    </row>
    <row r="6">
      <c r="B6" s="20"/>
      <c r="C6" s="14" t="s">
        <v>68</v>
      </c>
      <c r="D6" s="14" t="s">
        <v>69</v>
      </c>
      <c r="E6" s="14" t="s">
        <v>70</v>
      </c>
      <c r="F6" s="17"/>
      <c r="G6" s="17"/>
      <c r="H6" s="14" t="s">
        <v>69</v>
      </c>
      <c r="I6" s="14" t="s">
        <v>70</v>
      </c>
      <c r="J6" s="17"/>
      <c r="K6" s="19"/>
    </row>
    <row r="7">
      <c r="B7" s="20"/>
      <c r="C7" s="21" t="s">
        <v>94</v>
      </c>
      <c r="D7" s="30">
        <v>30.082</v>
      </c>
      <c r="E7" s="30">
        <v>30.028</v>
      </c>
      <c r="F7" s="17"/>
      <c r="G7" s="17"/>
      <c r="H7" s="32">
        <f>E7-D7</f>
        <v>-0.054</v>
      </c>
      <c r="I7" s="33">
        <v>0.0</v>
      </c>
      <c r="J7" s="17"/>
      <c r="K7" s="19"/>
    </row>
    <row r="8">
      <c r="B8" s="20"/>
      <c r="C8" s="14" t="s">
        <v>68</v>
      </c>
      <c r="D8" s="14" t="s">
        <v>86</v>
      </c>
      <c r="E8" s="14" t="s">
        <v>87</v>
      </c>
      <c r="F8" s="17"/>
      <c r="G8" s="17"/>
      <c r="H8" s="14" t="s">
        <v>86</v>
      </c>
      <c r="I8" s="14" t="s">
        <v>87</v>
      </c>
      <c r="J8" s="17"/>
      <c r="K8" s="19"/>
    </row>
    <row r="9">
      <c r="B9" s="16"/>
      <c r="C9" s="21" t="s">
        <v>95</v>
      </c>
      <c r="D9" s="30">
        <v>30.088</v>
      </c>
      <c r="E9" s="33">
        <v>30.002</v>
      </c>
      <c r="F9" s="17"/>
      <c r="G9" s="17"/>
      <c r="H9" s="31">
        <f>E9-D9</f>
        <v>-0.086</v>
      </c>
      <c r="I9" s="33">
        <v>0.0</v>
      </c>
      <c r="J9" s="17"/>
      <c r="K9" s="19"/>
    </row>
    <row r="10">
      <c r="B10" s="13" t="s">
        <v>96</v>
      </c>
      <c r="C10" s="14" t="s">
        <v>68</v>
      </c>
      <c r="D10" s="14" t="s">
        <v>97</v>
      </c>
      <c r="E10" s="14" t="s">
        <v>98</v>
      </c>
      <c r="F10" s="17"/>
      <c r="G10" s="17"/>
      <c r="H10" s="14" t="s">
        <v>97</v>
      </c>
      <c r="I10" s="14" t="s">
        <v>98</v>
      </c>
      <c r="J10" s="17"/>
      <c r="K10" s="19"/>
    </row>
    <row r="11">
      <c r="B11" s="20"/>
      <c r="C11" s="21" t="s">
        <v>99</v>
      </c>
      <c r="D11" s="30">
        <v>30.056</v>
      </c>
      <c r="E11" s="30">
        <v>30.002</v>
      </c>
      <c r="F11" s="17"/>
      <c r="G11" s="17"/>
      <c r="H11" s="33">
        <v>0.0</v>
      </c>
      <c r="I11" s="31">
        <f t="shared" ref="I11:I13" si="1">D11-E11</f>
        <v>0.054</v>
      </c>
      <c r="J11" s="17"/>
      <c r="K11" s="19"/>
    </row>
    <row r="12">
      <c r="B12" s="20"/>
      <c r="C12" s="21" t="s">
        <v>100</v>
      </c>
      <c r="D12" s="30">
        <v>29.966</v>
      </c>
      <c r="E12" s="30">
        <v>29.93</v>
      </c>
      <c r="F12" s="17"/>
      <c r="G12" s="17"/>
      <c r="H12" s="33">
        <v>0.0</v>
      </c>
      <c r="I12" s="31">
        <f t="shared" si="1"/>
        <v>0.036</v>
      </c>
      <c r="J12" s="17"/>
      <c r="K12" s="19"/>
    </row>
    <row r="13">
      <c r="B13" s="16"/>
      <c r="C13" s="21" t="s">
        <v>101</v>
      </c>
      <c r="D13" s="30">
        <v>30.064</v>
      </c>
      <c r="E13" s="30">
        <v>30.016</v>
      </c>
      <c r="F13" s="17"/>
      <c r="G13" s="17"/>
      <c r="H13" s="33">
        <v>0.0</v>
      </c>
      <c r="I13" s="31">
        <f t="shared" si="1"/>
        <v>0.048</v>
      </c>
      <c r="J13" s="17"/>
      <c r="K13" s="19"/>
    </row>
    <row r="14">
      <c r="B14" s="13" t="s">
        <v>102</v>
      </c>
      <c r="C14" s="14" t="s">
        <v>68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4" t="s">
        <v>103</v>
      </c>
      <c r="I14" s="14" t="s">
        <v>104</v>
      </c>
      <c r="J14" s="14" t="s">
        <v>105</v>
      </c>
      <c r="K14" s="15" t="s">
        <v>106</v>
      </c>
    </row>
    <row r="15">
      <c r="B15" s="20"/>
      <c r="C15" s="21" t="s">
        <v>107</v>
      </c>
      <c r="D15" s="30">
        <v>30.15</v>
      </c>
      <c r="E15" s="30">
        <v>30.172</v>
      </c>
      <c r="F15" s="30">
        <v>30.094</v>
      </c>
      <c r="G15" s="30">
        <v>30.012</v>
      </c>
      <c r="H15" s="31">
        <f t="shared" ref="H15:H18" si="2">F15-D15</f>
        <v>-0.056</v>
      </c>
      <c r="I15" s="31">
        <f t="shared" ref="I15:I18" si="3">F15-E15</f>
        <v>-0.078</v>
      </c>
      <c r="J15" s="31">
        <v>0.0</v>
      </c>
      <c r="K15" s="34">
        <f t="shared" ref="K15:K18" si="4">F15-G15</f>
        <v>0.082</v>
      </c>
    </row>
    <row r="16">
      <c r="B16" s="20"/>
      <c r="C16" s="21" t="s">
        <v>108</v>
      </c>
      <c r="D16" s="30">
        <v>30.138</v>
      </c>
      <c r="E16" s="30">
        <v>30.172</v>
      </c>
      <c r="F16" s="30">
        <v>30.08</v>
      </c>
      <c r="G16" s="30">
        <v>30.03</v>
      </c>
      <c r="H16" s="31">
        <f t="shared" si="2"/>
        <v>-0.058</v>
      </c>
      <c r="I16" s="31">
        <f t="shared" si="3"/>
        <v>-0.092</v>
      </c>
      <c r="J16" s="31">
        <v>0.0</v>
      </c>
      <c r="K16" s="34">
        <f t="shared" si="4"/>
        <v>0.05</v>
      </c>
    </row>
    <row r="17">
      <c r="B17" s="20"/>
      <c r="C17" s="17" t="s">
        <v>109</v>
      </c>
      <c r="D17" s="30">
        <v>30.156</v>
      </c>
      <c r="E17" s="30">
        <v>30.078</v>
      </c>
      <c r="F17" s="30">
        <v>30.218</v>
      </c>
      <c r="G17" s="30">
        <v>30.202</v>
      </c>
      <c r="H17" s="31">
        <f t="shared" si="2"/>
        <v>0.062</v>
      </c>
      <c r="I17" s="31">
        <f t="shared" si="3"/>
        <v>0.14</v>
      </c>
      <c r="J17" s="31">
        <v>0.0</v>
      </c>
      <c r="K17" s="34">
        <f t="shared" si="4"/>
        <v>0.016</v>
      </c>
    </row>
    <row r="18">
      <c r="B18" s="22"/>
      <c r="C18" s="23" t="s">
        <v>110</v>
      </c>
      <c r="D18" s="35">
        <v>30.142</v>
      </c>
      <c r="E18" s="35">
        <v>30.176</v>
      </c>
      <c r="F18" s="35">
        <v>30.086</v>
      </c>
      <c r="G18" s="35">
        <v>30.008</v>
      </c>
      <c r="H18" s="36">
        <f t="shared" si="2"/>
        <v>-0.056</v>
      </c>
      <c r="I18" s="36">
        <f t="shared" si="3"/>
        <v>-0.09</v>
      </c>
      <c r="J18" s="36">
        <v>0.0</v>
      </c>
      <c r="K18" s="37">
        <f t="shared" si="4"/>
        <v>0.078</v>
      </c>
    </row>
  </sheetData>
  <mergeCells count="5">
    <mergeCell ref="D3:G3"/>
    <mergeCell ref="H3:K3"/>
    <mergeCell ref="B4:B9"/>
    <mergeCell ref="B10:B13"/>
    <mergeCell ref="B14:B18"/>
  </mergeCells>
  <drawing r:id="rId1"/>
</worksheet>
</file>